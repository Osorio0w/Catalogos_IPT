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DRES.OSORIO\Desktop\"/>
    </mc:Choice>
  </mc:AlternateContent>
  <bookViews>
    <workbookView xWindow="0" yWindow="0" windowWidth="12555" windowHeight="11910"/>
  </bookViews>
  <sheets>
    <sheet name="PAPELERI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</calcChain>
</file>

<file path=xl/sharedStrings.xml><?xml version="1.0" encoding="utf-8"?>
<sst xmlns="http://schemas.openxmlformats.org/spreadsheetml/2006/main" count="156" uniqueCount="156">
  <si>
    <t>IPT-004180</t>
  </si>
  <si>
    <t>IPT-004181</t>
  </si>
  <si>
    <t>IPT-004188</t>
  </si>
  <si>
    <t>IPT-004195</t>
  </si>
  <si>
    <t>IPT-004192</t>
  </si>
  <si>
    <t>IPT-000005</t>
  </si>
  <si>
    <t>IPT-004198</t>
  </si>
  <si>
    <t>IPT-000004</t>
  </si>
  <si>
    <t>IPT-004199</t>
  </si>
  <si>
    <t>ROLLO TERMICO DE PUNTO DE VENTA 57X36MM</t>
  </si>
  <si>
    <t>ROLLO DE ETIQUETA ZEBRA 31X25MM 2000U</t>
  </si>
  <si>
    <t>IPT-000006</t>
  </si>
  <si>
    <t>TIRRO TRANSPARENTE 90M</t>
  </si>
  <si>
    <t>IPT-000266</t>
  </si>
  <si>
    <t>CAJA DE GRAPAS 24/6 DE 1000 UNIDADES PLATEADO</t>
  </si>
  <si>
    <t>IPT-002704</t>
  </si>
  <si>
    <t>TARJETA PVC PARA CARNET</t>
  </si>
  <si>
    <t>IPT-003455</t>
  </si>
  <si>
    <t>EXACTO 18MM</t>
  </si>
  <si>
    <t>IPT-003456</t>
  </si>
  <si>
    <t>EXACTO 18MM CON REPUESTO</t>
  </si>
  <si>
    <t>IPT-003457</t>
  </si>
  <si>
    <t>SET DE EXACTOS 8MM 5U</t>
  </si>
  <si>
    <t>IPT-003458</t>
  </si>
  <si>
    <t>EXACTO PLEGABLE</t>
  </si>
  <si>
    <t>IPT-003459</t>
  </si>
  <si>
    <t>HOJILLAS DE EXACTO 18MM 10U</t>
  </si>
  <si>
    <t>TABLA PORTAPAPELES  A4  AZUL COMIX</t>
  </si>
  <si>
    <t>TABLA PORTAPAPELES  A4  MARRON COMIX</t>
  </si>
  <si>
    <t>MARCADOR DE PIZARRA ROJO COMIX</t>
  </si>
  <si>
    <t>LAPIZ HB NEGRO 12U COMIX</t>
  </si>
  <si>
    <t>IPT-004194</t>
  </si>
  <si>
    <t>PERFORADORA 8CM BLANCO COMIX</t>
  </si>
  <si>
    <t>CLIP DE PAPEL 29MM STELL 150U COMIX</t>
  </si>
  <si>
    <t>GOMA DE BORRAR BLANCO 6CM COMIX</t>
  </si>
  <si>
    <t>REGLA TRANSPARENT 30CM COMIX</t>
  </si>
  <si>
    <t>IPT-004200</t>
  </si>
  <si>
    <t>REGLA TRANSPARENT 40CM COMIX</t>
  </si>
  <si>
    <t>IPT-004204</t>
  </si>
  <si>
    <t>CALCULADORA BLANCA COMIX</t>
  </si>
  <si>
    <t>IPT-004206</t>
  </si>
  <si>
    <t>PEGA EN BARRA 21G COMIX</t>
  </si>
  <si>
    <t>IPT-004207</t>
  </si>
  <si>
    <t>PEGA EN BARRA 36G COMIX</t>
  </si>
  <si>
    <t>IPT-004400</t>
  </si>
  <si>
    <t>PANTALLA PUBLICITARIA LED A5148X21CM</t>
  </si>
  <si>
    <t>IPT-004401</t>
  </si>
  <si>
    <t>PANTALLA PUBLICITARIA LED A4 21X297CM</t>
  </si>
  <si>
    <t>IPT-004447</t>
  </si>
  <si>
    <t>CAJA DE LAPICES 2HB KENCO 12U</t>
  </si>
  <si>
    <t>MT-MA0025</t>
  </si>
  <si>
    <t>CLIPS DE PAPEL 33MM MOTARRO MULTICOLOR 60U</t>
  </si>
  <si>
    <t>MT-MA0026</t>
  </si>
  <si>
    <t>CLIPS DE PAPEL 50MM MOTARRO MULTICOLOR 25U</t>
  </si>
  <si>
    <t>MT-MA0049</t>
  </si>
  <si>
    <t>SET DE SACAPUNTAS FORMA DE PEZ MOTARRO 3U</t>
  </si>
  <si>
    <t>MT-MA0050</t>
  </si>
  <si>
    <t>SET DE SACAPUNTAS COLOR PASTEL MOTARRO 6U</t>
  </si>
  <si>
    <t>MT-MA0115</t>
  </si>
  <si>
    <t>CHINCHE MARIPOSA 19MM MOTARRO 30U</t>
  </si>
  <si>
    <t>MT-MA0142</t>
  </si>
  <si>
    <t>ETIQUETA DE LLAVERO MOTARRO 5U</t>
  </si>
  <si>
    <t>MT-MA0221</t>
  </si>
  <si>
    <t>CLIPS DE CARPETA 22MM MOTARRO 5U</t>
  </si>
  <si>
    <t>MT-MA0244</t>
  </si>
  <si>
    <t>IMANES DE OFICINA 15MM MOTARRO 17U</t>
  </si>
  <si>
    <t>MT-MC0024</t>
  </si>
  <si>
    <t>SET DE MARCADORES PUNTA FINA 0/4MM MOTARRO 12U</t>
  </si>
  <si>
    <t>MT-MC0081</t>
  </si>
  <si>
    <t>SET DE LAPICEROS AZUL 1MM MOTARRO 2U</t>
  </si>
  <si>
    <t>MT-MC0082</t>
  </si>
  <si>
    <t>SET DE LAPICEROS NEGRO 1MM MOTARRO 2U</t>
  </si>
  <si>
    <t>MT-MC0083</t>
  </si>
  <si>
    <t>SET DE LAPICEROS AZUL/ROJO 1MM MOTARRO 2U</t>
  </si>
  <si>
    <t>MT-MC0091</t>
  </si>
  <si>
    <t>SET DE LAPICEROS AZUL 1MM MOTARRO 7U</t>
  </si>
  <si>
    <t>MT-MC0092</t>
  </si>
  <si>
    <t>SET DE LAPICEROS NEGRO 1MM MOTARRO 7U</t>
  </si>
  <si>
    <t>MT-MC0098</t>
  </si>
  <si>
    <t>CAJA DE LAPICEROS AZUL 1MM MOTARRO 50U</t>
  </si>
  <si>
    <t>MT-MC0222</t>
  </si>
  <si>
    <t>SET DE LAPICEROS DE COLORES MOTARRO 10U</t>
  </si>
  <si>
    <t>MT-MC0321</t>
  </si>
  <si>
    <t>MARCADOR PERMANENTE NEGRO MOTARRO 13CM</t>
  </si>
  <si>
    <t>MT-MC0508</t>
  </si>
  <si>
    <t>SET DE LAPICES HB AMARILLO MOTARRO 4U</t>
  </si>
  <si>
    <t>MT-MC3611</t>
  </si>
  <si>
    <t>CAJA DE MARCADORES DE PIZARRA NEGRO MOTARRO 12U</t>
  </si>
  <si>
    <t>MT-MC3612</t>
  </si>
  <si>
    <t>CAJA DE MARCADORES DE PIZARRA AZUL MOTARRO 12U</t>
  </si>
  <si>
    <t>MT-MC3613</t>
  </si>
  <si>
    <t>CAJA DE MARCADORES DE PIZARRA ROJO MOTARRO 12U</t>
  </si>
  <si>
    <t>MT-MC3614</t>
  </si>
  <si>
    <t>CAJA DE MARCADORES DE PIZARRA VERDE MOTARRO 12U</t>
  </si>
  <si>
    <t>MT-MC4515</t>
  </si>
  <si>
    <t>SET DE RESALTADORES PASTELES MOTARRO 6U</t>
  </si>
  <si>
    <t>MT-MF0012</t>
  </si>
  <si>
    <t>CAJA DE LIGAS MOTARRO N20 200MM</t>
  </si>
  <si>
    <t>MT-MF0016</t>
  </si>
  <si>
    <t>CAJA DE LIGAS MOTARRO N8 80MM MULTICOLOR</t>
  </si>
  <si>
    <t>MT-MF0017</t>
  </si>
  <si>
    <t>CAJA DE LIGAS MOTARRO N10 100MM</t>
  </si>
  <si>
    <t>MT-MI0111</t>
  </si>
  <si>
    <t>GUILLOTINA PARA CORTAR PAPEL TAMAÑO A3 MOTARRO</t>
  </si>
  <si>
    <t>MT-MI0191</t>
  </si>
  <si>
    <t>TIJERAS ESCOLARES DE FORMAS MOTARRO</t>
  </si>
  <si>
    <t>MT-MI0209</t>
  </si>
  <si>
    <t>GRAPADORA CON GRAPAS N10 MOTARRO</t>
  </si>
  <si>
    <t>MT-MI0211</t>
  </si>
  <si>
    <t>CAJAS DE GRAPAS N10 MOTARRO 3U</t>
  </si>
  <si>
    <t>MT-MK0001</t>
  </si>
  <si>
    <t>CINTA CORRECTORA 5MM X 5M MOTARRO</t>
  </si>
  <si>
    <t>MT-MK0011</t>
  </si>
  <si>
    <t>PEGA TRANSPARENTE 60ML MOTARRO</t>
  </si>
  <si>
    <t>MT-MK0029</t>
  </si>
  <si>
    <t>SET DE SACAPUNTAS DE COLORES MOTARRO 6U</t>
  </si>
  <si>
    <t>MT-MK0032</t>
  </si>
  <si>
    <t>SET DE SACAPUNTAS CON ENVASE DE COLORES MOTARRO 2U</t>
  </si>
  <si>
    <t>MT-MK0071</t>
  </si>
  <si>
    <t>CORRECTOR LIQUIDO 20ML MOTARRO</t>
  </si>
  <si>
    <t>MT-MN0011</t>
  </si>
  <si>
    <t>CLIPS DE CARPETA CON CARITAS MOTARRO 8PZAS</t>
  </si>
  <si>
    <t>MT-MP0812</t>
  </si>
  <si>
    <t>CRAYONES DE PLASTICO MOTARRO 12U</t>
  </si>
  <si>
    <t>MT-MP1212</t>
  </si>
  <si>
    <t>CRAYONES DE CERA MOTARRO 12U</t>
  </si>
  <si>
    <t>MT-MP1292</t>
  </si>
  <si>
    <t>BLOC DE DIBUJO A4 MOTARRO</t>
  </si>
  <si>
    <t>MT-MP1512</t>
  </si>
  <si>
    <t>SET DE ACUARELAS MOTARRO 12 COLORES</t>
  </si>
  <si>
    <t>MT-MP6312</t>
  </si>
  <si>
    <t>MARCADORES DE DIBUJO DOBLE PUNTA MOTARRO 12U</t>
  </si>
  <si>
    <t>MT-MP6324</t>
  </si>
  <si>
    <t>MARCADORES DE DIBUJO DOBLE PUNTA MOTARRO 24U</t>
  </si>
  <si>
    <t>MT-MT0082</t>
  </si>
  <si>
    <t>CINTA ADHESIVA DOBLE CARA TRANSPARENTE</t>
  </si>
  <si>
    <t>MT-MT0093</t>
  </si>
  <si>
    <t>CINTA ADHESIVA DOBLE CARA 24MM X 2M MOTARRO</t>
  </si>
  <si>
    <t>MT-MT0121</t>
  </si>
  <si>
    <t>SET DE CINTA ADHESIVA TRANSPARENTE 18MM X 3M MOTARRO 2U</t>
  </si>
  <si>
    <t>MT-MU0051</t>
  </si>
  <si>
    <t>MARCADOR DE PAGINAS MOTARRO 8 COLORES</t>
  </si>
  <si>
    <t>MT-MU0651</t>
  </si>
  <si>
    <t>CUADERNO DE NOTAS A5 NEGRO MOTARRO</t>
  </si>
  <si>
    <t>MT-MU1385</t>
  </si>
  <si>
    <t>CUADERNO DE NOTAS A5 DE GALAXIAS MOTARRO</t>
  </si>
  <si>
    <t>MT-MX0014</t>
  </si>
  <si>
    <t>CARTUCHERA CUADRADA PEQUEÑA MOTARRO 20CMX5,5CMX6,5CM</t>
  </si>
  <si>
    <t>MT-MX0266</t>
  </si>
  <si>
    <t>BOLSO ESCOLAR GRIS MOTARRO 30CMX40CM</t>
  </si>
  <si>
    <t>codigo</t>
  </si>
  <si>
    <t>descripcion</t>
  </si>
  <si>
    <t>imagen</t>
  </si>
  <si>
    <t>und</t>
  </si>
  <si>
    <t>und_venta</t>
  </si>
  <si>
    <t>und_bulto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</si>
</sst>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$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0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5" xfId="0" applyNumberFormat="1" applyBorder="1"/>
    <xf numFmtId="0" fontId="0" fillId="0" borderId="7" xfId="0" applyBorder="1"/>
    <xf numFmtId="0" fontId="0" fillId="0" borderId="1" xfId="0" applyBorder="1"/>
    <xf numFmtId="164" fontId="0" fillId="0" borderId="1" xfId="0" applyNumberFormat="1" applyBorder="1"/>
    <xf numFmtId="0" fontId="0" fillId="0" borderId="1" xfId="0" applyNumberFormat="1" applyBorder="1"/>
    <xf numFmtId="0" fontId="0" fillId="0" borderId="5" xfId="0" applyNumberFormat="1" applyBorder="1"/>
    <xf numFmtId="0" fontId="0" fillId="0" borderId="8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</cellXfs>
  <cellStyles count="2">
    <cellStyle name="Normal" xfId="0" builtinId="0"/>
    <cellStyle name="Porcentaje 2" xfId="1"/>
  </cellStyles>
  <dxfs count="10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$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$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F76" totalsRowShown="0" headerRowDxfId="9" headerRowBorderDxfId="8" tableBorderDxfId="7" totalsRowBorderDxfId="6">
  <autoFilter ref="A1:F76"/>
  <tableColumns count="6">
    <tableColumn id="1" name="codigo" dataDxfId="5"/>
    <tableColumn id="5" name="descripcion" dataDxfId="4"/>
    <tableColumn id="8" name="imagen" dataDxfId="3">
      <calculatedColumnFormula>CONCATENATE("imagenes/",Tabla1[[#This Row],[codigo]],".png")</calculatedColumnFormula>
    </tableColumn>
    <tableColumn id="2" name="und" dataDxfId="2"/>
    <tableColumn id="3" name="und_bulto" dataDxfId="1"/>
    <tableColumn id="7" name="und_ven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tabSelected="1" zoomScale="85" zoomScaleNormal="85" workbookViewId="0">
      <selection activeCell="A3" sqref="A3"/>
    </sheetView>
  </sheetViews>
  <sheetFormatPr baseColWidth="10" defaultRowHeight="15" x14ac:dyDescent="0.25"/>
  <cols>
    <col min="1" max="1" width="12" customWidth="1"/>
    <col min="2" max="2" width="61.42578125" bestFit="1" customWidth="1"/>
    <col min="3" max="3" width="25.7109375" bestFit="1" customWidth="1"/>
    <col min="7" max="7" width="11" bestFit="1" customWidth="1"/>
  </cols>
  <sheetData>
    <row r="1" spans="1:6" x14ac:dyDescent="0.25">
      <c r="A1" s="1" t="s">
        <v>150</v>
      </c>
      <c r="B1" s="2" t="s">
        <v>151</v>
      </c>
      <c r="C1" s="2" t="s">
        <v>152</v>
      </c>
      <c r="D1" s="2" t="s">
        <v>153</v>
      </c>
      <c r="E1" s="2" t="s">
        <v>155</v>
      </c>
      <c r="F1" s="2" t="s">
        <v>154</v>
      </c>
    </row>
    <row r="2" spans="1:6" x14ac:dyDescent="0.25">
      <c r="A2" s="5" t="s">
        <v>0</v>
      </c>
      <c r="B2" s="6" t="s">
        <v>27</v>
      </c>
      <c r="C2" s="6" t="str">
        <f>CONCATENATE("imagenes/",Tabla1[[#This Row],[codigo]],".png")</f>
        <v>imagenes/IPT-004180.png</v>
      </c>
      <c r="D2" s="7">
        <v>2.5</v>
      </c>
      <c r="E2" s="7">
        <v>30</v>
      </c>
      <c r="F2" s="10">
        <v>12</v>
      </c>
    </row>
    <row r="3" spans="1:6" x14ac:dyDescent="0.25">
      <c r="A3" s="5" t="s">
        <v>1</v>
      </c>
      <c r="B3" s="6" t="s">
        <v>28</v>
      </c>
      <c r="C3" s="6" t="str">
        <f>CONCATENATE("imagenes/",Tabla1[[#This Row],[codigo]],".png")</f>
        <v>imagenes/IPT-004181.png</v>
      </c>
      <c r="D3" s="7">
        <v>3.1</v>
      </c>
      <c r="E3" s="7">
        <v>37.200000000000003</v>
      </c>
      <c r="F3" s="10">
        <v>12</v>
      </c>
    </row>
    <row r="4" spans="1:6" x14ac:dyDescent="0.25">
      <c r="A4" s="5" t="s">
        <v>2</v>
      </c>
      <c r="B4" s="6" t="s">
        <v>29</v>
      </c>
      <c r="C4" s="6" t="str">
        <f>CONCATENATE("imagenes/",Tabla1[[#This Row],[codigo]],".png")</f>
        <v>imagenes/IPT-004188.png</v>
      </c>
      <c r="D4" s="7">
        <v>0.98591549295774639</v>
      </c>
      <c r="E4" s="7">
        <v>0</v>
      </c>
      <c r="F4" s="10"/>
    </row>
    <row r="5" spans="1:6" x14ac:dyDescent="0.25">
      <c r="A5" s="5" t="s">
        <v>3</v>
      </c>
      <c r="B5" s="6" t="s">
        <v>33</v>
      </c>
      <c r="C5" s="6" t="str">
        <f>CONCATENATE("imagenes/",Tabla1[[#This Row],[codigo]],".png")</f>
        <v>imagenes/IPT-004195.png</v>
      </c>
      <c r="D5" s="7">
        <v>1.6</v>
      </c>
      <c r="E5" s="7">
        <v>0</v>
      </c>
      <c r="F5" s="10"/>
    </row>
    <row r="6" spans="1:6" x14ac:dyDescent="0.25">
      <c r="A6" s="5" t="s">
        <v>4</v>
      </c>
      <c r="B6" s="6" t="s">
        <v>30</v>
      </c>
      <c r="C6" s="6" t="str">
        <f>CONCATENATE("imagenes/",Tabla1[[#This Row],[codigo]],".png")</f>
        <v>imagenes/IPT-004192.png</v>
      </c>
      <c r="D6" s="7">
        <v>0.96774193548387089</v>
      </c>
      <c r="E6" s="7">
        <v>0</v>
      </c>
      <c r="F6" s="10"/>
    </row>
    <row r="7" spans="1:6" x14ac:dyDescent="0.25">
      <c r="A7" s="5" t="s">
        <v>5</v>
      </c>
      <c r="B7" s="6" t="s">
        <v>10</v>
      </c>
      <c r="C7" s="6" t="str">
        <f>CONCATENATE("imagenes/",Tabla1[[#This Row],[codigo]],".png")</f>
        <v>imagenes/IPT-000005.png</v>
      </c>
      <c r="D7" s="7">
        <v>3.6</v>
      </c>
      <c r="E7" s="7">
        <v>0</v>
      </c>
      <c r="F7" s="10"/>
    </row>
    <row r="8" spans="1:6" x14ac:dyDescent="0.25">
      <c r="A8" s="5" t="s">
        <v>6</v>
      </c>
      <c r="B8" s="6" t="s">
        <v>34</v>
      </c>
      <c r="C8" s="6" t="str">
        <f>CONCATENATE("imagenes/",Tabla1[[#This Row],[codigo]],".png")</f>
        <v>imagenes/IPT-004198.png</v>
      </c>
      <c r="D8" s="7">
        <v>7.6923076923076927E-2</v>
      </c>
      <c r="E8" s="7">
        <v>0</v>
      </c>
      <c r="F8" s="10"/>
    </row>
    <row r="9" spans="1:6" x14ac:dyDescent="0.25">
      <c r="A9" s="5" t="s">
        <v>8</v>
      </c>
      <c r="B9" s="6" t="s">
        <v>35</v>
      </c>
      <c r="C9" s="6" t="str">
        <f>CONCATENATE("imagenes/",Tabla1[[#This Row],[codigo]],".png")</f>
        <v>imagenes/IPT-004199.png</v>
      </c>
      <c r="D9" s="7">
        <v>0.9</v>
      </c>
      <c r="E9" s="7">
        <v>0</v>
      </c>
      <c r="F9" s="10"/>
    </row>
    <row r="10" spans="1:6" x14ac:dyDescent="0.25">
      <c r="A10" s="5" t="s">
        <v>7</v>
      </c>
      <c r="B10" s="6" t="s">
        <v>9</v>
      </c>
      <c r="C10" s="6" t="str">
        <f>CONCATENATE("imagenes/",Tabla1[[#This Row],[codigo]],".png")</f>
        <v>imagenes/IPT-000004.png</v>
      </c>
      <c r="D10" s="7">
        <v>0.1</v>
      </c>
      <c r="E10" s="7">
        <v>0</v>
      </c>
      <c r="F10" s="10"/>
    </row>
    <row r="11" spans="1:6" x14ac:dyDescent="0.25">
      <c r="A11" s="5" t="s">
        <v>128</v>
      </c>
      <c r="B11" s="8" t="s">
        <v>129</v>
      </c>
      <c r="C11" s="8" t="str">
        <f>CONCATENATE("imagenes/",Tabla1[[#This Row],[codigo]],".png")</f>
        <v>imagenes/MT-MP1512.png</v>
      </c>
      <c r="D11" s="7">
        <v>3</v>
      </c>
      <c r="E11" s="7">
        <v>0</v>
      </c>
      <c r="F11" s="10"/>
    </row>
    <row r="12" spans="1:6" x14ac:dyDescent="0.25">
      <c r="A12" s="5" t="s">
        <v>31</v>
      </c>
      <c r="B12" s="8" t="s">
        <v>32</v>
      </c>
      <c r="C12" s="8" t="str">
        <f>CONCATENATE("imagenes/",Tabla1[[#This Row],[codigo]],".png")</f>
        <v>imagenes/IPT-004194.png</v>
      </c>
      <c r="D12" s="7">
        <v>5.4</v>
      </c>
      <c r="E12" s="7">
        <v>0</v>
      </c>
      <c r="F12" s="10"/>
    </row>
    <row r="13" spans="1:6" x14ac:dyDescent="0.25">
      <c r="A13" s="5" t="s">
        <v>38</v>
      </c>
      <c r="B13" s="8" t="s">
        <v>39</v>
      </c>
      <c r="C13" s="8" t="str">
        <f>CONCATENATE("imagenes/",Tabla1[[#This Row],[codigo]],".png")</f>
        <v>imagenes/IPT-004204.png</v>
      </c>
      <c r="D13" s="7">
        <v>13.9</v>
      </c>
      <c r="E13" s="7">
        <v>0</v>
      </c>
      <c r="F13" s="10"/>
    </row>
    <row r="14" spans="1:6" x14ac:dyDescent="0.25">
      <c r="A14" s="5" t="s">
        <v>40</v>
      </c>
      <c r="B14" s="8" t="s">
        <v>41</v>
      </c>
      <c r="C14" s="8" t="str">
        <f>CONCATENATE("imagenes/",Tabla1[[#This Row],[codigo]],".png")</f>
        <v>imagenes/IPT-004206.png</v>
      </c>
      <c r="D14" s="7">
        <v>0.99009900990099009</v>
      </c>
      <c r="E14" s="7">
        <v>0</v>
      </c>
      <c r="F14" s="10"/>
    </row>
    <row r="15" spans="1:6" x14ac:dyDescent="0.25">
      <c r="A15" s="5" t="s">
        <v>36</v>
      </c>
      <c r="B15" s="8" t="s">
        <v>37</v>
      </c>
      <c r="C15" s="8" t="str">
        <f>CONCATENATE("imagenes/",Tabla1[[#This Row],[codigo]],".png")</f>
        <v>imagenes/IPT-004200.png</v>
      </c>
      <c r="D15" s="7">
        <v>1.4000000000000001</v>
      </c>
      <c r="E15" s="7">
        <v>0</v>
      </c>
      <c r="F15" s="10"/>
    </row>
    <row r="16" spans="1:6" x14ac:dyDescent="0.25">
      <c r="A16" s="5" t="s">
        <v>17</v>
      </c>
      <c r="B16" s="8" t="s">
        <v>18</v>
      </c>
      <c r="C16" s="8" t="str">
        <f>CONCATENATE("imagenes/",Tabla1[[#This Row],[codigo]],".png")</f>
        <v>imagenes/IPT-003455.png</v>
      </c>
      <c r="D16" s="7">
        <v>1.8</v>
      </c>
      <c r="E16" s="7">
        <v>0</v>
      </c>
      <c r="F16" s="10"/>
    </row>
    <row r="17" spans="1:6" x14ac:dyDescent="0.25">
      <c r="A17" s="5" t="s">
        <v>42</v>
      </c>
      <c r="B17" s="8" t="s">
        <v>43</v>
      </c>
      <c r="C17" s="8" t="str">
        <f>CONCATENATE("imagenes/",Tabla1[[#This Row],[codigo]],".png")</f>
        <v>imagenes/IPT-004207.png</v>
      </c>
      <c r="D17" s="7">
        <v>0.98654708520179368</v>
      </c>
      <c r="E17" s="7">
        <v>0</v>
      </c>
      <c r="F17" s="10"/>
    </row>
    <row r="18" spans="1:6" x14ac:dyDescent="0.25">
      <c r="A18" s="5" t="s">
        <v>21</v>
      </c>
      <c r="B18" s="8" t="s">
        <v>22</v>
      </c>
      <c r="C18" s="8" t="str">
        <f>CONCATENATE("imagenes/",Tabla1[[#This Row],[codigo]],".png")</f>
        <v>imagenes/IPT-003457.png</v>
      </c>
      <c r="D18" s="7">
        <v>3.5</v>
      </c>
      <c r="E18" s="7">
        <v>0</v>
      </c>
      <c r="F18" s="10"/>
    </row>
    <row r="19" spans="1:6" x14ac:dyDescent="0.25">
      <c r="A19" s="5" t="s">
        <v>25</v>
      </c>
      <c r="B19" s="8" t="s">
        <v>26</v>
      </c>
      <c r="C19" s="8" t="str">
        <f>CONCATENATE("imagenes/",Tabla1[[#This Row],[codigo]],".png")</f>
        <v>imagenes/IPT-003459.png</v>
      </c>
      <c r="D19" s="7">
        <v>1.2000000000000002</v>
      </c>
      <c r="E19" s="7">
        <v>0</v>
      </c>
      <c r="F19" s="10"/>
    </row>
    <row r="20" spans="1:6" x14ac:dyDescent="0.25">
      <c r="A20" s="5" t="s">
        <v>19</v>
      </c>
      <c r="B20" s="8" t="s">
        <v>20</v>
      </c>
      <c r="C20" s="8" t="str">
        <f>CONCATENATE("imagenes/",Tabla1[[#This Row],[codigo]],".png")</f>
        <v>imagenes/IPT-003456.png</v>
      </c>
      <c r="D20" s="7">
        <v>2.1</v>
      </c>
      <c r="E20" s="7">
        <v>0</v>
      </c>
      <c r="F20" s="10"/>
    </row>
    <row r="21" spans="1:6" x14ac:dyDescent="0.25">
      <c r="A21" s="5" t="s">
        <v>48</v>
      </c>
      <c r="B21" s="8" t="s">
        <v>49</v>
      </c>
      <c r="C21" s="8" t="str">
        <f>CONCATENATE("imagenes/",Tabla1[[#This Row],[codigo]],".png")</f>
        <v>imagenes/IPT-004447.png</v>
      </c>
      <c r="D21" s="7">
        <v>2.1</v>
      </c>
      <c r="E21" s="7">
        <v>0</v>
      </c>
      <c r="F21" s="10"/>
    </row>
    <row r="22" spans="1:6" x14ac:dyDescent="0.25">
      <c r="A22" s="5" t="s">
        <v>15</v>
      </c>
      <c r="B22" s="8" t="s">
        <v>16</v>
      </c>
      <c r="C22" s="8" t="str">
        <f>CONCATENATE("imagenes/",Tabla1[[#This Row],[codigo]],".png")</f>
        <v>imagenes/IPT-002704.png</v>
      </c>
      <c r="D22" s="7" t="e">
        <v>#N/A</v>
      </c>
      <c r="E22" s="7" t="e">
        <v>#N/A</v>
      </c>
      <c r="F22" s="10"/>
    </row>
    <row r="23" spans="1:6" x14ac:dyDescent="0.25">
      <c r="A23" s="5" t="s">
        <v>23</v>
      </c>
      <c r="B23" s="8" t="s">
        <v>24</v>
      </c>
      <c r="C23" s="8" t="str">
        <f>CONCATENATE("imagenes/",Tabla1[[#This Row],[codigo]],".png")</f>
        <v>imagenes/IPT-003458.png</v>
      </c>
      <c r="D23" s="7">
        <v>3.2</v>
      </c>
      <c r="E23" s="7">
        <v>0</v>
      </c>
      <c r="F23" s="10"/>
    </row>
    <row r="24" spans="1:6" x14ac:dyDescent="0.25">
      <c r="A24" s="5" t="s">
        <v>11</v>
      </c>
      <c r="B24" s="8" t="s">
        <v>12</v>
      </c>
      <c r="C24" s="8" t="str">
        <f>CONCATENATE("imagenes/",Tabla1[[#This Row],[codigo]],".png")</f>
        <v>imagenes/IPT-000006.png</v>
      </c>
      <c r="D24" s="7">
        <v>0.9941027801179444</v>
      </c>
      <c r="E24" s="7">
        <v>0</v>
      </c>
      <c r="F24" s="10"/>
    </row>
    <row r="25" spans="1:6" x14ac:dyDescent="0.25">
      <c r="A25" s="5" t="s">
        <v>13</v>
      </c>
      <c r="B25" s="8" t="s">
        <v>14</v>
      </c>
      <c r="C25" s="8" t="str">
        <f>CONCATENATE("imagenes/",Tabla1[[#This Row],[codigo]],".png")</f>
        <v>imagenes/IPT-000266.png</v>
      </c>
      <c r="D25" s="7">
        <v>1.4000000000000001</v>
      </c>
      <c r="E25" s="7">
        <v>0</v>
      </c>
      <c r="F25" s="10"/>
    </row>
    <row r="26" spans="1:6" x14ac:dyDescent="0.25">
      <c r="A26" s="5" t="s">
        <v>46</v>
      </c>
      <c r="B26" s="8" t="s">
        <v>47</v>
      </c>
      <c r="C26" s="8" t="str">
        <f>CONCATENATE("imagenes/",Tabla1[[#This Row],[codigo]],".png")</f>
        <v>imagenes/IPT-004401.png</v>
      </c>
      <c r="D26" s="7">
        <v>42.900000000000006</v>
      </c>
      <c r="E26" s="7">
        <v>0</v>
      </c>
      <c r="F26" s="10"/>
    </row>
    <row r="27" spans="1:6" x14ac:dyDescent="0.25">
      <c r="A27" s="5" t="s">
        <v>44</v>
      </c>
      <c r="B27" s="8" t="s">
        <v>45</v>
      </c>
      <c r="C27" s="8" t="str">
        <f>CONCATENATE("imagenes/",Tabla1[[#This Row],[codigo]],".png")</f>
        <v>imagenes/IPT-004400.png</v>
      </c>
      <c r="D27" s="7">
        <v>35.800000000000004</v>
      </c>
      <c r="E27" s="7">
        <v>0</v>
      </c>
      <c r="F27" s="10"/>
    </row>
    <row r="28" spans="1:6" x14ac:dyDescent="0.25">
      <c r="A28" s="5" t="s">
        <v>80</v>
      </c>
      <c r="B28" s="8" t="s">
        <v>81</v>
      </c>
      <c r="C28" s="8" t="str">
        <f>CONCATENATE("imagenes/",Tabla1[[#This Row],[codigo]],".png")</f>
        <v>imagenes/MT-MC0222.png</v>
      </c>
      <c r="D28" s="7">
        <v>2.7</v>
      </c>
      <c r="E28" s="7">
        <v>0</v>
      </c>
      <c r="F28" s="10"/>
    </row>
    <row r="29" spans="1:6" x14ac:dyDescent="0.25">
      <c r="A29" s="5" t="s">
        <v>58</v>
      </c>
      <c r="B29" s="8" t="s">
        <v>59</v>
      </c>
      <c r="C29" s="8" t="str">
        <f>CONCATENATE("imagenes/",Tabla1[[#This Row],[codigo]],".png")</f>
        <v>imagenes/MT-MA0115.png</v>
      </c>
      <c r="D29" s="7">
        <v>1.1000000000000001</v>
      </c>
      <c r="E29" s="7">
        <v>0</v>
      </c>
      <c r="F29" s="10"/>
    </row>
    <row r="30" spans="1:6" x14ac:dyDescent="0.25">
      <c r="A30" s="5" t="s">
        <v>146</v>
      </c>
      <c r="B30" s="8" t="s">
        <v>147</v>
      </c>
      <c r="C30" s="8" t="str">
        <f>CONCATENATE("imagenes/",Tabla1[[#This Row],[codigo]],".png")</f>
        <v>imagenes/MT-MX0014.png</v>
      </c>
      <c r="D30" s="7">
        <v>3</v>
      </c>
      <c r="E30" s="7">
        <v>0</v>
      </c>
      <c r="F30" s="10"/>
    </row>
    <row r="31" spans="1:6" x14ac:dyDescent="0.25">
      <c r="A31" s="5" t="s">
        <v>50</v>
      </c>
      <c r="B31" s="8" t="s">
        <v>51</v>
      </c>
      <c r="C31" s="8" t="str">
        <f>CONCATENATE("imagenes/",Tabla1[[#This Row],[codigo]],".png")</f>
        <v>imagenes/MT-MA0025.png</v>
      </c>
      <c r="D31" s="7">
        <v>0.9</v>
      </c>
      <c r="E31" s="7">
        <v>0</v>
      </c>
      <c r="F31" s="10"/>
    </row>
    <row r="32" spans="1:6" x14ac:dyDescent="0.25">
      <c r="A32" s="5" t="s">
        <v>52</v>
      </c>
      <c r="B32" s="8" t="s">
        <v>53</v>
      </c>
      <c r="C32" s="8" t="str">
        <f>CONCATENATE("imagenes/",Tabla1[[#This Row],[codigo]],".png")</f>
        <v>imagenes/MT-MA0026.png</v>
      </c>
      <c r="D32" s="7">
        <v>0.9</v>
      </c>
      <c r="E32" s="7">
        <v>0</v>
      </c>
      <c r="F32" s="10"/>
    </row>
    <row r="33" spans="1:6" x14ac:dyDescent="0.25">
      <c r="A33" s="5" t="s">
        <v>54</v>
      </c>
      <c r="B33" s="8" t="s">
        <v>55</v>
      </c>
      <c r="C33" s="8" t="str">
        <f>CONCATENATE("imagenes/",Tabla1[[#This Row],[codigo]],".png")</f>
        <v>imagenes/MT-MA0049.png</v>
      </c>
      <c r="D33" s="7">
        <v>1.1000000000000001</v>
      </c>
      <c r="E33" s="7">
        <v>0</v>
      </c>
      <c r="F33" s="10"/>
    </row>
    <row r="34" spans="1:6" x14ac:dyDescent="0.25">
      <c r="A34" s="5" t="s">
        <v>56</v>
      </c>
      <c r="B34" s="8" t="s">
        <v>57</v>
      </c>
      <c r="C34" s="8" t="str">
        <f>CONCATENATE("imagenes/",Tabla1[[#This Row],[codigo]],".png")</f>
        <v>imagenes/MT-MA0050.png</v>
      </c>
      <c r="D34" s="7">
        <v>1.1000000000000001</v>
      </c>
      <c r="E34" s="7">
        <v>0</v>
      </c>
      <c r="F34" s="10"/>
    </row>
    <row r="35" spans="1:6" x14ac:dyDescent="0.25">
      <c r="A35" s="5" t="s">
        <v>62</v>
      </c>
      <c r="B35" s="8" t="s">
        <v>63</v>
      </c>
      <c r="C35" s="8" t="str">
        <f>CONCATENATE("imagenes/",Tabla1[[#This Row],[codigo]],".png")</f>
        <v>imagenes/MT-MA0221.png</v>
      </c>
      <c r="D35" s="7">
        <v>1.1000000000000001</v>
      </c>
      <c r="E35" s="7">
        <v>0</v>
      </c>
      <c r="F35" s="10"/>
    </row>
    <row r="36" spans="1:6" x14ac:dyDescent="0.25">
      <c r="A36" s="5" t="s">
        <v>64</v>
      </c>
      <c r="B36" s="8" t="s">
        <v>65</v>
      </c>
      <c r="C36" s="8" t="str">
        <f>CONCATENATE("imagenes/",Tabla1[[#This Row],[codigo]],".png")</f>
        <v>imagenes/MT-MA0244.png</v>
      </c>
      <c r="D36" s="7">
        <v>1.1000000000000001</v>
      </c>
      <c r="E36" s="7">
        <v>0</v>
      </c>
      <c r="F36" s="10"/>
    </row>
    <row r="37" spans="1:6" x14ac:dyDescent="0.25">
      <c r="A37" s="5" t="s">
        <v>84</v>
      </c>
      <c r="B37" s="8" t="s">
        <v>85</v>
      </c>
      <c r="C37" s="8" t="str">
        <f>CONCATENATE("imagenes/",Tabla1[[#This Row],[codigo]],".png")</f>
        <v>imagenes/MT-MC0508.png</v>
      </c>
      <c r="D37" s="7">
        <v>1.3</v>
      </c>
      <c r="E37" s="7">
        <v>0</v>
      </c>
      <c r="F37" s="10"/>
    </row>
    <row r="38" spans="1:6" x14ac:dyDescent="0.25">
      <c r="A38" s="5" t="s">
        <v>66</v>
      </c>
      <c r="B38" s="8" t="s">
        <v>67</v>
      </c>
      <c r="C38" s="8" t="str">
        <f>CONCATENATE("imagenes/",Tabla1[[#This Row],[codigo]],".png")</f>
        <v>imagenes/MT-MC0024.png</v>
      </c>
      <c r="D38" s="7">
        <v>4.1000000000000005</v>
      </c>
      <c r="E38" s="7">
        <v>0</v>
      </c>
      <c r="F38" s="10"/>
    </row>
    <row r="39" spans="1:6" x14ac:dyDescent="0.25">
      <c r="A39" s="5" t="s">
        <v>68</v>
      </c>
      <c r="B39" s="8" t="s">
        <v>69</v>
      </c>
      <c r="C39" s="8" t="str">
        <f>CONCATENATE("imagenes/",Tabla1[[#This Row],[codigo]],".png")</f>
        <v>imagenes/MT-MC0081.png</v>
      </c>
      <c r="D39" s="7">
        <v>1.3</v>
      </c>
      <c r="E39" s="7">
        <v>0</v>
      </c>
      <c r="F39" s="10"/>
    </row>
    <row r="40" spans="1:6" x14ac:dyDescent="0.25">
      <c r="A40" s="5" t="s">
        <v>70</v>
      </c>
      <c r="B40" s="8" t="s">
        <v>71</v>
      </c>
      <c r="C40" s="8" t="str">
        <f>CONCATENATE("imagenes/",Tabla1[[#This Row],[codigo]],".png")</f>
        <v>imagenes/MT-MC0082.png</v>
      </c>
      <c r="D40" s="7">
        <v>1.3</v>
      </c>
      <c r="E40" s="7">
        <v>0</v>
      </c>
      <c r="F40" s="10"/>
    </row>
    <row r="41" spans="1:6" x14ac:dyDescent="0.25">
      <c r="A41" s="5" t="s">
        <v>72</v>
      </c>
      <c r="B41" s="8" t="s">
        <v>73</v>
      </c>
      <c r="C41" s="8" t="str">
        <f>CONCATENATE("imagenes/",Tabla1[[#This Row],[codigo]],".png")</f>
        <v>imagenes/MT-MC0083.png</v>
      </c>
      <c r="D41" s="7">
        <v>1.3</v>
      </c>
      <c r="E41" s="7">
        <v>0</v>
      </c>
      <c r="F41" s="10"/>
    </row>
    <row r="42" spans="1:6" x14ac:dyDescent="0.25">
      <c r="A42" s="5" t="s">
        <v>74</v>
      </c>
      <c r="B42" s="8" t="s">
        <v>75</v>
      </c>
      <c r="C42" s="8" t="str">
        <f>CONCATENATE("imagenes/",Tabla1[[#This Row],[codigo]],".png")</f>
        <v>imagenes/MT-MC0091.png</v>
      </c>
      <c r="D42" s="7">
        <v>1.9000000000000001</v>
      </c>
      <c r="E42" s="7">
        <v>0</v>
      </c>
      <c r="F42" s="10"/>
    </row>
    <row r="43" spans="1:6" x14ac:dyDescent="0.25">
      <c r="A43" s="5" t="s">
        <v>76</v>
      </c>
      <c r="B43" s="8" t="s">
        <v>77</v>
      </c>
      <c r="C43" s="8" t="str">
        <f>CONCATENATE("imagenes/",Tabla1[[#This Row],[codigo]],".png")</f>
        <v>imagenes/MT-MC0092.png</v>
      </c>
      <c r="D43" s="7">
        <v>1.9000000000000001</v>
      </c>
      <c r="E43" s="7">
        <v>0</v>
      </c>
      <c r="F43" s="10"/>
    </row>
    <row r="44" spans="1:6" x14ac:dyDescent="0.25">
      <c r="A44" s="5" t="s">
        <v>120</v>
      </c>
      <c r="B44" s="8" t="s">
        <v>121</v>
      </c>
      <c r="C44" s="8" t="str">
        <f>CONCATENATE("imagenes/",Tabla1[[#This Row],[codigo]],".png")</f>
        <v>imagenes/MT-MN0011.png</v>
      </c>
      <c r="D44" s="7">
        <v>1.3</v>
      </c>
      <c r="E44" s="7">
        <v>0</v>
      </c>
      <c r="F44" s="10"/>
    </row>
    <row r="45" spans="1:6" x14ac:dyDescent="0.25">
      <c r="A45" s="5" t="s">
        <v>78</v>
      </c>
      <c r="B45" s="8" t="s">
        <v>79</v>
      </c>
      <c r="C45" s="8" t="str">
        <f>CONCATENATE("imagenes/",Tabla1[[#This Row],[codigo]],".png")</f>
        <v>imagenes/MT-MC0098.png</v>
      </c>
      <c r="D45" s="7">
        <v>1</v>
      </c>
      <c r="E45" s="7">
        <v>0</v>
      </c>
      <c r="F45" s="10"/>
    </row>
    <row r="46" spans="1:6" x14ac:dyDescent="0.25">
      <c r="A46" s="5" t="s">
        <v>142</v>
      </c>
      <c r="B46" s="8" t="s">
        <v>143</v>
      </c>
      <c r="C46" s="8" t="str">
        <f>CONCATENATE("imagenes/",Tabla1[[#This Row],[codigo]],".png")</f>
        <v>imagenes/MT-MU0651.png</v>
      </c>
      <c r="D46" s="7">
        <v>4.6000000000000005</v>
      </c>
      <c r="E46" s="7">
        <v>0</v>
      </c>
      <c r="F46" s="10"/>
    </row>
    <row r="47" spans="1:6" x14ac:dyDescent="0.25">
      <c r="A47" s="5" t="s">
        <v>98</v>
      </c>
      <c r="B47" s="8" t="s">
        <v>99</v>
      </c>
      <c r="C47" s="8" t="str">
        <f>CONCATENATE("imagenes/",Tabla1[[#This Row],[codigo]],".png")</f>
        <v>imagenes/MT-MF0016.png</v>
      </c>
      <c r="D47" s="7">
        <v>1.7000000000000002</v>
      </c>
      <c r="E47" s="7">
        <v>0</v>
      </c>
      <c r="F47" s="10"/>
    </row>
    <row r="48" spans="1:6" x14ac:dyDescent="0.25">
      <c r="A48" s="5" t="s">
        <v>96</v>
      </c>
      <c r="B48" s="8" t="s">
        <v>97</v>
      </c>
      <c r="C48" s="8" t="str">
        <f>CONCATENATE("imagenes/",Tabla1[[#This Row],[codigo]],".png")</f>
        <v>imagenes/MT-MF0012.png</v>
      </c>
      <c r="D48" s="7">
        <v>1.7000000000000002</v>
      </c>
      <c r="E48" s="7">
        <v>0</v>
      </c>
      <c r="F48" s="10"/>
    </row>
    <row r="49" spans="1:6" x14ac:dyDescent="0.25">
      <c r="A49" s="5" t="s">
        <v>100</v>
      </c>
      <c r="B49" s="8" t="s">
        <v>101</v>
      </c>
      <c r="C49" s="8" t="str">
        <f>CONCATENATE("imagenes/",Tabla1[[#This Row],[codigo]],".png")</f>
        <v>imagenes/MT-MF0017.png</v>
      </c>
      <c r="D49" s="7">
        <v>1.7000000000000002</v>
      </c>
      <c r="E49" s="7">
        <v>0</v>
      </c>
      <c r="F49" s="10"/>
    </row>
    <row r="50" spans="1:6" x14ac:dyDescent="0.25">
      <c r="A50" s="5" t="s">
        <v>106</v>
      </c>
      <c r="B50" s="8" t="s">
        <v>107</v>
      </c>
      <c r="C50" s="8" t="str">
        <f>CONCATENATE("imagenes/",Tabla1[[#This Row],[codigo]],".png")</f>
        <v>imagenes/MT-MI0209.png</v>
      </c>
      <c r="D50" s="7">
        <v>5.6000000000000005</v>
      </c>
      <c r="E50" s="7">
        <v>0</v>
      </c>
      <c r="F50" s="10"/>
    </row>
    <row r="51" spans="1:6" x14ac:dyDescent="0.25">
      <c r="A51" s="5" t="s">
        <v>102</v>
      </c>
      <c r="B51" s="8" t="s">
        <v>103</v>
      </c>
      <c r="C51" s="8" t="str">
        <f>CONCATENATE("imagenes/",Tabla1[[#This Row],[codigo]],".png")</f>
        <v>imagenes/MT-MI0111.png</v>
      </c>
      <c r="D51" s="7">
        <v>41.300000000000004</v>
      </c>
      <c r="E51" s="7">
        <v>0</v>
      </c>
      <c r="F51" s="10"/>
    </row>
    <row r="52" spans="1:6" x14ac:dyDescent="0.25">
      <c r="A52" s="5" t="s">
        <v>104</v>
      </c>
      <c r="B52" s="8" t="s">
        <v>105</v>
      </c>
      <c r="C52" s="8" t="str">
        <f>CONCATENATE("imagenes/",Tabla1[[#This Row],[codigo]],".png")</f>
        <v>imagenes/MT-MI0191.png</v>
      </c>
      <c r="D52" s="7">
        <v>1.7000000000000002</v>
      </c>
      <c r="E52" s="7">
        <v>0</v>
      </c>
      <c r="F52" s="10"/>
    </row>
    <row r="53" spans="1:6" x14ac:dyDescent="0.25">
      <c r="A53" s="5" t="s">
        <v>108</v>
      </c>
      <c r="B53" s="8" t="s">
        <v>109</v>
      </c>
      <c r="C53" s="8" t="str">
        <f>CONCATENATE("imagenes/",Tabla1[[#This Row],[codigo]],".png")</f>
        <v>imagenes/MT-MI0211.png</v>
      </c>
      <c r="D53" s="7">
        <v>1.6</v>
      </c>
      <c r="E53" s="7">
        <v>0</v>
      </c>
      <c r="F53" s="10"/>
    </row>
    <row r="54" spans="1:6" x14ac:dyDescent="0.25">
      <c r="A54" s="5" t="s">
        <v>110</v>
      </c>
      <c r="B54" s="8" t="s">
        <v>111</v>
      </c>
      <c r="C54" s="8" t="str">
        <f>CONCATENATE("imagenes/",Tabla1[[#This Row],[codigo]],".png")</f>
        <v>imagenes/MT-MK0001.png</v>
      </c>
      <c r="D54" s="7">
        <v>1.1000000000000001</v>
      </c>
      <c r="E54" s="7">
        <v>0</v>
      </c>
      <c r="F54" s="10"/>
    </row>
    <row r="55" spans="1:6" x14ac:dyDescent="0.25">
      <c r="A55" s="5" t="s">
        <v>118</v>
      </c>
      <c r="B55" s="8" t="s">
        <v>119</v>
      </c>
      <c r="C55" s="8" t="str">
        <f>CONCATENATE("imagenes/",Tabla1[[#This Row],[codigo]],".png")</f>
        <v>imagenes/MT-MK0071.png</v>
      </c>
      <c r="D55" s="7">
        <v>1.3</v>
      </c>
      <c r="E55" s="7">
        <v>0</v>
      </c>
      <c r="F55" s="10"/>
    </row>
    <row r="56" spans="1:6" x14ac:dyDescent="0.25">
      <c r="A56" s="5" t="s">
        <v>112</v>
      </c>
      <c r="B56" s="8" t="s">
        <v>113</v>
      </c>
      <c r="C56" s="8" t="str">
        <f>CONCATENATE("imagenes/",Tabla1[[#This Row],[codigo]],".png")</f>
        <v>imagenes/MT-MK0011.png</v>
      </c>
      <c r="D56" s="7">
        <v>1.3</v>
      </c>
      <c r="E56" s="7">
        <v>0</v>
      </c>
      <c r="F56" s="10"/>
    </row>
    <row r="57" spans="1:6" x14ac:dyDescent="0.25">
      <c r="A57" s="5" t="s">
        <v>114</v>
      </c>
      <c r="B57" s="8" t="s">
        <v>115</v>
      </c>
      <c r="C57" s="8" t="str">
        <f>CONCATENATE("imagenes/",Tabla1[[#This Row],[codigo]],".png")</f>
        <v>imagenes/MT-MK0029.png</v>
      </c>
      <c r="D57" s="7">
        <v>1.1000000000000001</v>
      </c>
      <c r="E57" s="7">
        <v>0</v>
      </c>
      <c r="F57" s="10"/>
    </row>
    <row r="58" spans="1:6" x14ac:dyDescent="0.25">
      <c r="A58" s="5" t="s">
        <v>116</v>
      </c>
      <c r="B58" s="8" t="s">
        <v>117</v>
      </c>
      <c r="C58" s="8" t="str">
        <f>CONCATENATE("imagenes/",Tabla1[[#This Row],[codigo]],".png")</f>
        <v>imagenes/MT-MK0032.png</v>
      </c>
      <c r="D58" s="7">
        <v>1.2000000000000002</v>
      </c>
      <c r="E58" s="7">
        <v>0</v>
      </c>
      <c r="F58" s="10"/>
    </row>
    <row r="59" spans="1:6" x14ac:dyDescent="0.25">
      <c r="A59" s="5" t="s">
        <v>94</v>
      </c>
      <c r="B59" s="8" t="s">
        <v>95</v>
      </c>
      <c r="C59" s="8" t="str">
        <f>CONCATENATE("imagenes/",Tabla1[[#This Row],[codigo]],".png")</f>
        <v>imagenes/MT-MC4515.png</v>
      </c>
      <c r="D59" s="7">
        <v>4.9000000000000004</v>
      </c>
      <c r="E59" s="7">
        <v>0</v>
      </c>
      <c r="F59" s="10"/>
    </row>
    <row r="60" spans="1:6" x14ac:dyDescent="0.25">
      <c r="A60" s="5" t="s">
        <v>136</v>
      </c>
      <c r="B60" s="8" t="s">
        <v>137</v>
      </c>
      <c r="C60" s="8" t="str">
        <f>CONCATENATE("imagenes/",Tabla1[[#This Row],[codigo]],".png")</f>
        <v>imagenes/MT-MT0093.png</v>
      </c>
      <c r="D60" s="7">
        <v>1.1000000000000001</v>
      </c>
      <c r="E60" s="7">
        <v>0</v>
      </c>
      <c r="F60" s="10"/>
    </row>
    <row r="61" spans="1:6" x14ac:dyDescent="0.25">
      <c r="A61" s="5" t="s">
        <v>134</v>
      </c>
      <c r="B61" s="8" t="s">
        <v>135</v>
      </c>
      <c r="C61" s="8" t="str">
        <f>CONCATENATE("imagenes/",Tabla1[[#This Row],[codigo]],".png")</f>
        <v>imagenes/MT-MT0082.png</v>
      </c>
      <c r="D61" s="7">
        <v>1.9000000000000001</v>
      </c>
      <c r="E61" s="7">
        <v>0</v>
      </c>
      <c r="F61" s="10"/>
    </row>
    <row r="62" spans="1:6" x14ac:dyDescent="0.25">
      <c r="A62" s="5" t="s">
        <v>144</v>
      </c>
      <c r="B62" s="8" t="s">
        <v>145</v>
      </c>
      <c r="C62" s="8" t="str">
        <f>CONCATENATE("imagenes/",Tabla1[[#This Row],[codigo]],".png")</f>
        <v>imagenes/MT-MU1385.png</v>
      </c>
      <c r="D62" s="7">
        <v>4.7</v>
      </c>
      <c r="E62" s="7">
        <v>0</v>
      </c>
      <c r="F62" s="10"/>
    </row>
    <row r="63" spans="1:6" x14ac:dyDescent="0.25">
      <c r="A63" s="5" t="s">
        <v>140</v>
      </c>
      <c r="B63" s="8" t="s">
        <v>141</v>
      </c>
      <c r="C63" s="8" t="str">
        <f>CONCATENATE("imagenes/",Tabla1[[#This Row],[codigo]],".png")</f>
        <v>imagenes/MT-MU0051.png</v>
      </c>
      <c r="D63" s="7">
        <v>1.4000000000000001</v>
      </c>
      <c r="E63" s="7">
        <v>0</v>
      </c>
      <c r="F63" s="10"/>
    </row>
    <row r="64" spans="1:6" x14ac:dyDescent="0.25">
      <c r="A64" s="5" t="s">
        <v>122</v>
      </c>
      <c r="B64" s="8" t="s">
        <v>123</v>
      </c>
      <c r="C64" s="8" t="str">
        <f>CONCATENATE("imagenes/",Tabla1[[#This Row],[codigo]],".png")</f>
        <v>imagenes/MT-MP0812.png</v>
      </c>
      <c r="D64" s="7">
        <v>2.6</v>
      </c>
      <c r="E64" s="7">
        <v>0</v>
      </c>
      <c r="F64" s="10"/>
    </row>
    <row r="65" spans="1:6" x14ac:dyDescent="0.25">
      <c r="A65" s="5" t="s">
        <v>148</v>
      </c>
      <c r="B65" s="8" t="s">
        <v>149</v>
      </c>
      <c r="C65" s="8" t="str">
        <f>CONCATENATE("imagenes/",Tabla1[[#This Row],[codigo]],".png")</f>
        <v>imagenes/MT-MX0266.png</v>
      </c>
      <c r="D65" s="7">
        <v>13</v>
      </c>
      <c r="E65" s="7">
        <v>0</v>
      </c>
      <c r="F65" s="10"/>
    </row>
    <row r="66" spans="1:6" x14ac:dyDescent="0.25">
      <c r="A66" s="5" t="s">
        <v>126</v>
      </c>
      <c r="B66" s="8" t="s">
        <v>127</v>
      </c>
      <c r="C66" s="8" t="str">
        <f>CONCATENATE("imagenes/",Tabla1[[#This Row],[codigo]],".png")</f>
        <v>imagenes/MT-MP1292.png</v>
      </c>
      <c r="D66" s="7">
        <v>4.9000000000000004</v>
      </c>
      <c r="E66" s="7">
        <v>0</v>
      </c>
      <c r="F66" s="10"/>
    </row>
    <row r="67" spans="1:6" x14ac:dyDescent="0.25">
      <c r="A67" s="5" t="s">
        <v>138</v>
      </c>
      <c r="B67" s="8" t="s">
        <v>139</v>
      </c>
      <c r="C67" s="8" t="str">
        <f>CONCATENATE("imagenes/",Tabla1[[#This Row],[codigo]],".png")</f>
        <v>imagenes/MT-MT0121.png</v>
      </c>
      <c r="D67" s="7">
        <v>1.1000000000000001</v>
      </c>
      <c r="E67" s="7">
        <v>0</v>
      </c>
      <c r="F67" s="10"/>
    </row>
    <row r="68" spans="1:6" x14ac:dyDescent="0.25">
      <c r="A68" s="5" t="s">
        <v>124</v>
      </c>
      <c r="B68" s="8" t="s">
        <v>125</v>
      </c>
      <c r="C68" s="8" t="str">
        <f>CONCATENATE("imagenes/",Tabla1[[#This Row],[codigo]],".png")</f>
        <v>imagenes/MT-MP1212.png</v>
      </c>
      <c r="D68" s="7">
        <v>3.1</v>
      </c>
      <c r="E68" s="7">
        <v>0</v>
      </c>
      <c r="F68" s="10"/>
    </row>
    <row r="69" spans="1:6" x14ac:dyDescent="0.25">
      <c r="A69" s="5" t="s">
        <v>130</v>
      </c>
      <c r="B69" s="8" t="s">
        <v>131</v>
      </c>
      <c r="C69" s="8" t="str">
        <f>CONCATENATE("imagenes/",Tabla1[[#This Row],[codigo]],".png")</f>
        <v>imagenes/MT-MP6312.png</v>
      </c>
      <c r="D69" s="7">
        <v>5.7</v>
      </c>
      <c r="E69" s="7">
        <v>0</v>
      </c>
      <c r="F69" s="10"/>
    </row>
    <row r="70" spans="1:6" x14ac:dyDescent="0.25">
      <c r="A70" s="5" t="s">
        <v>132</v>
      </c>
      <c r="B70" s="8" t="s">
        <v>133</v>
      </c>
      <c r="C70" s="8" t="str">
        <f>CONCATENATE("imagenes/",Tabla1[[#This Row],[codigo]],".png")</f>
        <v>imagenes/MT-MP6324.png</v>
      </c>
      <c r="D70" s="7">
        <v>10.200000000000001</v>
      </c>
      <c r="E70" s="7">
        <v>0</v>
      </c>
      <c r="F70" s="10"/>
    </row>
    <row r="71" spans="1:6" x14ac:dyDescent="0.25">
      <c r="A71" s="5" t="s">
        <v>86</v>
      </c>
      <c r="B71" s="8" t="s">
        <v>87</v>
      </c>
      <c r="C71" s="8" t="str">
        <f>CONCATENATE("imagenes/",Tabla1[[#This Row],[codigo]],".png")</f>
        <v>imagenes/MT-MC3611.png</v>
      </c>
      <c r="D71" s="7">
        <v>0.85106382978723405</v>
      </c>
      <c r="E71" s="7">
        <v>0</v>
      </c>
      <c r="F71" s="10"/>
    </row>
    <row r="72" spans="1:6" x14ac:dyDescent="0.25">
      <c r="A72" s="5" t="s">
        <v>88</v>
      </c>
      <c r="B72" s="8" t="s">
        <v>89</v>
      </c>
      <c r="C72" s="8" t="str">
        <f>CONCATENATE("imagenes/",Tabla1[[#This Row],[codigo]],".png")</f>
        <v>imagenes/MT-MC3612.png</v>
      </c>
      <c r="D72" s="7">
        <v>0.90909090909090906</v>
      </c>
      <c r="E72" s="7">
        <v>0</v>
      </c>
      <c r="F72" s="10"/>
    </row>
    <row r="73" spans="1:6" x14ac:dyDescent="0.25">
      <c r="A73" s="5" t="s">
        <v>90</v>
      </c>
      <c r="B73" s="8" t="s">
        <v>91</v>
      </c>
      <c r="C73" s="8" t="str">
        <f>CONCATENATE("imagenes/",Tabla1[[#This Row],[codigo]],".png")</f>
        <v>imagenes/MT-MC3613.png</v>
      </c>
      <c r="D73" s="7">
        <v>0.94339622641509424</v>
      </c>
      <c r="E73" s="7">
        <v>0</v>
      </c>
      <c r="F73" s="10"/>
    </row>
    <row r="74" spans="1:6" x14ac:dyDescent="0.25">
      <c r="A74" s="5" t="s">
        <v>92</v>
      </c>
      <c r="B74" s="8" t="s">
        <v>93</v>
      </c>
      <c r="C74" s="8" t="str">
        <f>CONCATENATE("imagenes/",Tabla1[[#This Row],[codigo]],".png")</f>
        <v>imagenes/MT-MC3614.png</v>
      </c>
      <c r="D74" s="7">
        <v>0.94339622641509424</v>
      </c>
      <c r="E74" s="7">
        <v>0</v>
      </c>
      <c r="F74" s="10"/>
    </row>
    <row r="75" spans="1:6" x14ac:dyDescent="0.25">
      <c r="A75" s="5" t="s">
        <v>82</v>
      </c>
      <c r="B75" s="8" t="s">
        <v>83</v>
      </c>
      <c r="C75" s="8" t="str">
        <f>CONCATENATE("imagenes/",Tabla1[[#This Row],[codigo]],".png")</f>
        <v>imagenes/MT-MC0321.png</v>
      </c>
      <c r="D75" s="7">
        <v>1.2000000000000002</v>
      </c>
      <c r="E75" s="7">
        <v>0</v>
      </c>
      <c r="F75" s="10"/>
    </row>
    <row r="76" spans="1:6" x14ac:dyDescent="0.25">
      <c r="A76" s="3" t="s">
        <v>60</v>
      </c>
      <c r="B76" s="9" t="s">
        <v>61</v>
      </c>
      <c r="C76" s="9" t="str">
        <f>CONCATENATE("imagenes/",Tabla1[[#This Row],[codigo]],".png")</f>
        <v>imagenes/MT-MA0142.png</v>
      </c>
      <c r="D76" s="4">
        <v>0.9</v>
      </c>
      <c r="E76" s="4">
        <v>0</v>
      </c>
      <c r="F76" s="11"/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PAPELERIA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OSORIO</dc:creator>
  <cp:lastModifiedBy>ANDRES OSORIO</cp:lastModifiedBy>
  <dcterms:created xsi:type="dcterms:W3CDTF">2025-11-13T19:38:51Z</dcterms:created>
  <dcterms:modified xsi:type="dcterms:W3CDTF">2025-11-15T16:16:59Z</dcterms:modified>
</cp:coreProperties>
</file>